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4AAE463-A71D-4985-A920-DD43750EBA02}" xr6:coauthVersionLast="47" xr6:coauthVersionMax="47" xr10:uidLastSave="{00000000-0000-0000-0000-000000000000}"/>
  <bookViews>
    <workbookView xWindow="-120" yWindow="-120" windowWidth="20730" windowHeight="11160" activeTab="1" xr2:uid="{377FBAF4-28BC-4853-BCB5-4DBC4DD5D549}"/>
  </bookViews>
  <sheets>
    <sheet name="Dinamica" sheetId="2" r:id="rId1"/>
    <sheet name="Diagrama Gantt" sheetId="1" r:id="rId2"/>
  </sheets>
  <definedNames>
    <definedName name="SegmentaciónDeDatos_Responsable">#N/A</definedName>
    <definedName name="SegmentaciónDeDatos_Sprint">#N/A</definedName>
  </definedNames>
  <calcPr calcId="191029"/>
  <pivotCaches>
    <pivotCache cacheId="8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  <x14:slicerCache r:id="rId5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1" l="1"/>
  <c r="K16" i="1"/>
  <c r="K4" i="1"/>
  <c r="K21" i="1"/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M21" i="1"/>
  <c r="I21" i="1"/>
  <c r="M20" i="1"/>
  <c r="K20" i="1"/>
  <c r="I20" i="1"/>
  <c r="M19" i="1"/>
  <c r="K19" i="1"/>
  <c r="I19" i="1"/>
  <c r="M18" i="1"/>
  <c r="K18" i="1"/>
  <c r="I18" i="1"/>
  <c r="M17" i="1"/>
  <c r="K17" i="1"/>
  <c r="I17" i="1"/>
  <c r="M16" i="1"/>
  <c r="I16" i="1"/>
  <c r="G16" i="1"/>
  <c r="G10" i="1" s="1"/>
  <c r="G5" i="1" s="1"/>
  <c r="G4" i="1" s="1"/>
  <c r="I6" i="1"/>
  <c r="I7" i="1"/>
  <c r="I8" i="1"/>
  <c r="I9" i="1"/>
  <c r="I11" i="1"/>
  <c r="I12" i="1"/>
  <c r="I13" i="1"/>
  <c r="I14" i="1"/>
  <c r="I15" i="1"/>
  <c r="I5" i="1"/>
  <c r="I10" i="1"/>
  <c r="K5" i="1"/>
  <c r="K6" i="1"/>
  <c r="K7" i="1"/>
  <c r="K8" i="1"/>
  <c r="K9" i="1"/>
  <c r="K10" i="1"/>
  <c r="K11" i="1"/>
  <c r="K12" i="1"/>
  <c r="K13" i="1"/>
  <c r="K14" i="1"/>
  <c r="K15" i="1"/>
  <c r="M6" i="1"/>
  <c r="M7" i="1"/>
  <c r="M8" i="1"/>
  <c r="M9" i="1"/>
  <c r="M11" i="1"/>
  <c r="M12" i="1"/>
  <c r="M13" i="1"/>
  <c r="M14" i="1"/>
  <c r="M15" i="1"/>
  <c r="B27" i="1" l="1"/>
  <c r="M10" i="1"/>
  <c r="M5" i="1"/>
  <c r="M4" i="1" l="1"/>
  <c r="I4" i="1"/>
</calcChain>
</file>

<file path=xl/sharedStrings.xml><?xml version="1.0" encoding="utf-8"?>
<sst xmlns="http://schemas.openxmlformats.org/spreadsheetml/2006/main" count="95" uniqueCount="39">
  <si>
    <t>Epica</t>
  </si>
  <si>
    <t>Entrega de valor</t>
  </si>
  <si>
    <t>HA/HU</t>
  </si>
  <si>
    <t>Responsable</t>
  </si>
  <si>
    <t>Progreso</t>
  </si>
  <si>
    <t>Fecha Inicio</t>
  </si>
  <si>
    <t>Fecha fin</t>
  </si>
  <si>
    <t>%Dias</t>
  </si>
  <si>
    <t>Entregable 1</t>
  </si>
  <si>
    <t>Epica 1</t>
  </si>
  <si>
    <t>Entregable 2</t>
  </si>
  <si>
    <t>Entregable Epica</t>
  </si>
  <si>
    <t>Sprint</t>
  </si>
  <si>
    <t>Duracion Dias</t>
  </si>
  <si>
    <t>Rol</t>
  </si>
  <si>
    <t>Puntos</t>
  </si>
  <si>
    <t>Suma de Puntos</t>
  </si>
  <si>
    <t>Etiquetas de fila</t>
  </si>
  <si>
    <t>Total general</t>
  </si>
  <si>
    <t>Restante</t>
  </si>
  <si>
    <t>Cuenta de HA/HU</t>
  </si>
  <si>
    <t>Entregable 3</t>
  </si>
  <si>
    <t>Juan Diego</t>
  </si>
  <si>
    <t>Fecha Fin</t>
  </si>
  <si>
    <t>Epica final del proyecto</t>
  </si>
  <si>
    <t>Documento APA</t>
  </si>
  <si>
    <t>Repositorio</t>
  </si>
  <si>
    <t>Carga a BD</t>
  </si>
  <si>
    <t>Limpieza de datos</t>
  </si>
  <si>
    <t>Documentación en Notebook</t>
  </si>
  <si>
    <t>Enriquecimiento de datos</t>
  </si>
  <si>
    <t>Analisis descriptivo</t>
  </si>
  <si>
    <t>Crear visualizaciones</t>
  </si>
  <si>
    <t>Diagrama de Gantt</t>
  </si>
  <si>
    <t>Contexto y estructura de la presentación</t>
  </si>
  <si>
    <t>Limpieza, enriquecimiento y análisis descriptivo</t>
  </si>
  <si>
    <t>Diseño del dashboard</t>
  </si>
  <si>
    <t>Documento de proyecto y diagrama de Gantt</t>
  </si>
  <si>
    <t> Repositorio actualizado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</si>
</sst>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9" fontId="0" fillId="0" borderId="0" xfId="1" applyFont="1"/>
    <xf numFmtId="0" fontId="2" fillId="0" borderId="0" xfId="0" applyFont="1"/>
    <xf numFmtId="0" fontId="4" fillId="0" borderId="0" xfId="0" pivotButton="1" applyFont="1"/>
    <xf numFmtId="0" fontId="4" fillId="0" borderId="0" xfId="0" applyFont="1"/>
    <xf numFmtId="0" fontId="4" fillId="0" borderId="0" xfId="0" applyFont="1" applyAlignment="1">
      <alignment horizontal="left"/>
    </xf>
    <xf numFmtId="14" fontId="2" fillId="0" borderId="0" xfId="0" applyNumberFormat="1" applyFont="1"/>
    <xf numFmtId="0" fontId="0" fillId="0" borderId="0" xfId="0" applyAlignment="1">
      <alignment horizontal="center"/>
    </xf>
    <xf numFmtId="0" fontId="4" fillId="0" borderId="0" xfId="0" applyNumberFormat="1" applyFont="1"/>
  </cellXfs>
  <cellStyles count="2">
    <cellStyle name="Normal" xfId="0" builtinId="0"/>
    <cellStyle name="Porcentaje" xfId="1" builtinId="5"/>
  </cellStyles>
  <dxfs count="42"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9" formatCode="d/mm/yyyy"/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10" Type="http://schemas.openxmlformats.org/officeDocument/2006/relationships/customXml" Target="../customXml/item1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Avance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'Diagrama Gantt'!$B$4:$C$21</c:f>
              <c:multiLvlStrCache>
                <c:ptCount val="18"/>
                <c:lvl>
                  <c:pt idx="0">
                    <c:v>Epica final del proyecto</c:v>
                  </c:pt>
                  <c:pt idx="1">
                    <c:v>Entregable 1</c:v>
                  </c:pt>
                  <c:pt idx="2">
                    <c:v>Documento APA</c:v>
                  </c:pt>
                  <c:pt idx="3">
                    <c:v>Repositorio</c:v>
                  </c:pt>
                  <c:pt idx="4">
                    <c:v>Carga a BD</c:v>
                  </c:pt>
                  <c:pt idx="5">
                    <c:v>Diagrama de Gantt</c:v>
                  </c:pt>
                  <c:pt idx="6">
                    <c:v>Entregable 2</c:v>
                  </c:pt>
                  <c:pt idx="7">
                    <c:v>Limpieza de datos</c:v>
                  </c:pt>
                  <c:pt idx="8">
                    <c:v>Documentación en Notebook</c:v>
                  </c:pt>
                  <c:pt idx="9">
                    <c:v>Enriquecimiento de datos</c:v>
                  </c:pt>
                  <c:pt idx="10">
                    <c:v>Analisis descriptivo</c:v>
                  </c:pt>
                  <c:pt idx="11">
                    <c:v>Crear visualizaciones</c:v>
                  </c:pt>
                  <c:pt idx="12">
                    <c:v>Entregable 3</c:v>
                  </c:pt>
                  <c:pt idx="13">
                    <c:v>Contexto y estructura de la presentación</c:v>
                  </c:pt>
                  <c:pt idx="14">
                    <c:v>Limpieza, enriquecimiento y análisis descriptivo</c:v>
                  </c:pt>
                  <c:pt idx="15">
                    <c:v>Diseño del dashboard</c:v>
                  </c:pt>
                  <c:pt idx="16">
                    <c:v>Documento de proyecto y diagrama de Gantt</c:v>
                  </c:pt>
                  <c:pt idx="17">
                    <c:v> Repositorio actualizado</c:v>
                  </c:pt>
                </c:lvl>
                <c:lvl>
                  <c:pt idx="0">
                    <c:v>Entregable Epica</c:v>
                  </c:pt>
                  <c:pt idx="1">
                    <c:v>Entregable 1</c:v>
                  </c:pt>
                  <c:pt idx="2">
                    <c:v>Entregable 1</c:v>
                  </c:pt>
                  <c:pt idx="3">
                    <c:v>Entregable 1</c:v>
                  </c:pt>
                  <c:pt idx="4">
                    <c:v>Entregable 1</c:v>
                  </c:pt>
                  <c:pt idx="5">
                    <c:v>Entregable 1</c:v>
                  </c:pt>
                  <c:pt idx="6">
                    <c:v>Entregable 2</c:v>
                  </c:pt>
                  <c:pt idx="7">
                    <c:v>Entregable 2</c:v>
                  </c:pt>
                  <c:pt idx="8">
                    <c:v>Entregable 2</c:v>
                  </c:pt>
                  <c:pt idx="9">
                    <c:v>Entregable 2</c:v>
                  </c:pt>
                  <c:pt idx="10">
                    <c:v>Entregable 2</c:v>
                  </c:pt>
                  <c:pt idx="11">
                    <c:v>Entregable 2</c:v>
                  </c:pt>
                  <c:pt idx="12">
                    <c:v>Entregable 3</c:v>
                  </c:pt>
                  <c:pt idx="13">
                    <c:v>Entregable 3</c:v>
                  </c:pt>
                  <c:pt idx="14">
                    <c:v>Entregable 3</c:v>
                  </c:pt>
                  <c:pt idx="15">
                    <c:v>Entregable 3</c:v>
                  </c:pt>
                  <c:pt idx="16">
                    <c:v>Entregable 3</c:v>
                  </c:pt>
                  <c:pt idx="17">
                    <c:v>Entregable 3</c:v>
                  </c:pt>
                </c:lvl>
              </c:multiLvlStrCache>
            </c:multiLvlStrRef>
          </c:cat>
          <c:val>
            <c:numRef>
              <c:f>'Diagrama Gantt'!$H$4:$H$21</c:f>
              <c:numCache>
                <c:formatCode>0%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B-4017-857B-DE23D0880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6444383"/>
        <c:axId val="106448223"/>
        <c:axId val="0"/>
      </c:bar3DChart>
      <c:catAx>
        <c:axId val="10644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448223"/>
        <c:crosses val="autoZero"/>
        <c:auto val="1"/>
        <c:lblAlgn val="ctr"/>
        <c:lblOffset val="100"/>
        <c:noMultiLvlLbl val="0"/>
      </c:catAx>
      <c:valAx>
        <c:axId val="10644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44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Diagrama de Gantt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Entrega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'Diagrama Gantt'!$C$4:$C$21</c:f>
              <c:strCache>
                <c:ptCount val="18"/>
                <c:pt idx="0">
                  <c:v>Epica final del proyecto</c:v>
                </c:pt>
                <c:pt idx="1">
                  <c:v>Entregable 1</c:v>
                </c:pt>
                <c:pt idx="2">
                  <c:v>Documento APA</c:v>
                </c:pt>
                <c:pt idx="3">
                  <c:v>Repositorio</c:v>
                </c:pt>
                <c:pt idx="4">
                  <c:v>Carga a BD</c:v>
                </c:pt>
                <c:pt idx="5">
                  <c:v>Diagrama de Gantt</c:v>
                </c:pt>
                <c:pt idx="6">
                  <c:v>Entregable 2</c:v>
                </c:pt>
                <c:pt idx="7">
                  <c:v>Limpieza de datos</c:v>
                </c:pt>
                <c:pt idx="8">
                  <c:v>Documentación en Notebook</c:v>
                </c:pt>
                <c:pt idx="9">
                  <c:v>Enriquecimiento de datos</c:v>
                </c:pt>
                <c:pt idx="10">
                  <c:v>Analisis descriptivo</c:v>
                </c:pt>
                <c:pt idx="11">
                  <c:v>Crear visualizaciones</c:v>
                </c:pt>
                <c:pt idx="12">
                  <c:v>Entregable 3</c:v>
                </c:pt>
                <c:pt idx="13">
                  <c:v>Contexto y estructura de la presentación</c:v>
                </c:pt>
                <c:pt idx="14">
                  <c:v>Limpieza, enriquecimiento y análisis descriptivo</c:v>
                </c:pt>
                <c:pt idx="15">
                  <c:v>Diseño del dashboard</c:v>
                </c:pt>
                <c:pt idx="16">
                  <c:v>Documento de proyecto y diagrama de Gantt</c:v>
                </c:pt>
                <c:pt idx="17">
                  <c:v> Repositorio actualizado</c:v>
                </c:pt>
              </c:strCache>
            </c:strRef>
          </c:cat>
          <c:val>
            <c:numRef>
              <c:f>'Diagrama Gantt'!$J$4:$J$21</c:f>
              <c:numCache>
                <c:formatCode>m/d/yyyy</c:formatCode>
                <c:ptCount val="18"/>
                <c:pt idx="0">
                  <c:v>45962</c:v>
                </c:pt>
                <c:pt idx="1">
                  <c:v>45962</c:v>
                </c:pt>
                <c:pt idx="2">
                  <c:v>45962</c:v>
                </c:pt>
                <c:pt idx="3">
                  <c:v>45963</c:v>
                </c:pt>
                <c:pt idx="4">
                  <c:v>45964</c:v>
                </c:pt>
                <c:pt idx="5">
                  <c:v>45967</c:v>
                </c:pt>
                <c:pt idx="6">
                  <c:v>45971</c:v>
                </c:pt>
                <c:pt idx="7">
                  <c:v>45973</c:v>
                </c:pt>
                <c:pt idx="8">
                  <c:v>45974</c:v>
                </c:pt>
                <c:pt idx="9">
                  <c:v>45976</c:v>
                </c:pt>
                <c:pt idx="10">
                  <c:v>45978</c:v>
                </c:pt>
                <c:pt idx="11">
                  <c:v>45980</c:v>
                </c:pt>
                <c:pt idx="12">
                  <c:v>45985</c:v>
                </c:pt>
                <c:pt idx="13">
                  <c:v>45985</c:v>
                </c:pt>
                <c:pt idx="14">
                  <c:v>45987</c:v>
                </c:pt>
                <c:pt idx="15">
                  <c:v>45990</c:v>
                </c:pt>
                <c:pt idx="16">
                  <c:v>45992</c:v>
                </c:pt>
                <c:pt idx="17">
                  <c:v>45993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4A-4639-A20D-432909220DFF}"/>
            </c:ext>
          </c:extLst>
        </c:ser>
        <c:ser>
          <c:idx val="1"/>
          <c:order val="1"/>
          <c:tx>
            <c:v>Dias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'Diagrama Gantt'!$C$4:$C$21</c:f>
              <c:strCache>
                <c:ptCount val="18"/>
                <c:pt idx="0">
                  <c:v>Epica final del proyecto</c:v>
                </c:pt>
                <c:pt idx="1">
                  <c:v>Entregable 1</c:v>
                </c:pt>
                <c:pt idx="2">
                  <c:v>Documento APA</c:v>
                </c:pt>
                <c:pt idx="3">
                  <c:v>Repositorio</c:v>
                </c:pt>
                <c:pt idx="4">
                  <c:v>Carga a BD</c:v>
                </c:pt>
                <c:pt idx="5">
                  <c:v>Diagrama de Gantt</c:v>
                </c:pt>
                <c:pt idx="6">
                  <c:v>Entregable 2</c:v>
                </c:pt>
                <c:pt idx="7">
                  <c:v>Limpieza de datos</c:v>
                </c:pt>
                <c:pt idx="8">
                  <c:v>Documentación en Notebook</c:v>
                </c:pt>
                <c:pt idx="9">
                  <c:v>Enriquecimiento de datos</c:v>
                </c:pt>
                <c:pt idx="10">
                  <c:v>Analisis descriptivo</c:v>
                </c:pt>
                <c:pt idx="11">
                  <c:v>Crear visualizaciones</c:v>
                </c:pt>
                <c:pt idx="12">
                  <c:v>Entregable 3</c:v>
                </c:pt>
                <c:pt idx="13">
                  <c:v>Contexto y estructura de la presentación</c:v>
                </c:pt>
                <c:pt idx="14">
                  <c:v>Limpieza, enriquecimiento y análisis descriptivo</c:v>
                </c:pt>
                <c:pt idx="15">
                  <c:v>Diseño del dashboard</c:v>
                </c:pt>
                <c:pt idx="16">
                  <c:v>Documento de proyecto y diagrama de Gantt</c:v>
                </c:pt>
                <c:pt idx="17">
                  <c:v> Repositorio actualizado</c:v>
                </c:pt>
              </c:strCache>
            </c:strRef>
          </c:cat>
          <c:val>
            <c:numRef>
              <c:f>'Diagrama Gantt'!$L$4:$L$21</c:f>
              <c:numCache>
                <c:formatCode>General</c:formatCode>
                <c:ptCount val="18"/>
                <c:pt idx="0">
                  <c:v>36</c:v>
                </c:pt>
                <c:pt idx="1">
                  <c:v>8</c:v>
                </c:pt>
                <c:pt idx="2">
                  <c:v>4</c:v>
                </c:pt>
                <c:pt idx="3">
                  <c:v>6</c:v>
                </c:pt>
                <c:pt idx="4">
                  <c:v>5</c:v>
                </c:pt>
                <c:pt idx="5">
                  <c:v>3</c:v>
                </c:pt>
                <c:pt idx="6">
                  <c:v>13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4</c:v>
                </c:pt>
                <c:pt idx="12">
                  <c:v>13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5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4A-4639-A20D-432909220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132063"/>
        <c:axId val="136126783"/>
      </c:barChart>
      <c:catAx>
        <c:axId val="1361320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6126783"/>
        <c:crosses val="autoZero"/>
        <c:auto val="1"/>
        <c:lblAlgn val="ctr"/>
        <c:lblOffset val="100"/>
        <c:noMultiLvlLbl val="0"/>
      </c:catAx>
      <c:valAx>
        <c:axId val="136126783"/>
        <c:scaling>
          <c:orientation val="minMax"/>
          <c:max val="45999"/>
          <c:min val="4596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6132063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775607</xdr:colOff>
      <xdr:row>0</xdr:row>
      <xdr:rowOff>186418</xdr:rowOff>
    </xdr:from>
    <xdr:to>
      <xdr:col>12</xdr:col>
      <xdr:colOff>1074964</xdr:colOff>
      <xdr:row>0</xdr:row>
      <xdr:rowOff>979714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" name="Responsable">
              <a:extLst>
                <a:ext uri="{FF2B5EF4-FFF2-40B4-BE49-F238E27FC236}">
                  <a16:creationId xmlns:a16="http://schemas.microsoft.com/office/drawing/2014/main" id="{189162A5-32AD-6205-E84E-677E102BAB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ponsab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89428" y="186418"/>
              <a:ext cx="2340429" cy="7932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oneCellAnchor>
    <xdr:from>
      <xdr:col>13</xdr:col>
      <xdr:colOff>0</xdr:colOff>
      <xdr:row>0</xdr:row>
      <xdr:rowOff>2428875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734769BC-809A-40ED-136C-2F6868F62CDC}"/>
            </a:ext>
          </a:extLst>
        </xdr:cNvPr>
        <xdr:cNvSpPr txBox="1"/>
      </xdr:nvSpPr>
      <xdr:spPr>
        <a:xfrm>
          <a:off x="11858625" y="2428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13</xdr:col>
      <xdr:colOff>457200</xdr:colOff>
      <xdr:row>0</xdr:row>
      <xdr:rowOff>1962150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4AF86768-EDBF-8023-D6D8-DDAD9EC74AEF}"/>
            </a:ext>
          </a:extLst>
        </xdr:cNvPr>
        <xdr:cNvSpPr txBox="1"/>
      </xdr:nvSpPr>
      <xdr:spPr>
        <a:xfrm>
          <a:off x="13811250" y="196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>
            <a:ln>
              <a:noFill/>
            </a:ln>
            <a:noFill/>
          </a:endParaRPr>
        </a:p>
      </xdr:txBody>
    </xdr:sp>
    <xdr:clientData/>
  </xdr:oneCellAnchor>
  <xdr:oneCellAnchor>
    <xdr:from>
      <xdr:col>11</xdr:col>
      <xdr:colOff>285750</xdr:colOff>
      <xdr:row>0</xdr:row>
      <xdr:rowOff>1566182</xdr:rowOff>
    </xdr:from>
    <xdr:ext cx="1156150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AFEE7C47-9A3F-3874-B849-06CEDEA96D67}"/>
            </a:ext>
          </a:extLst>
        </xdr:cNvPr>
        <xdr:cNvSpPr txBox="1"/>
      </xdr:nvSpPr>
      <xdr:spPr>
        <a:xfrm>
          <a:off x="13743214" y="1566182"/>
          <a:ext cx="11561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 b="1"/>
            <a:t>Avance</a:t>
          </a:r>
          <a:r>
            <a:rPr lang="es-CO" sz="1100" b="1" baseline="0"/>
            <a:t> Proyecto</a:t>
          </a:r>
          <a:endParaRPr lang="es-CO" sz="1100" b="1"/>
        </a:p>
      </xdr:txBody>
    </xdr:sp>
    <xdr:clientData/>
  </xdr:oneCellAnchor>
  <xdr:oneCellAnchor>
    <xdr:from>
      <xdr:col>11</xdr:col>
      <xdr:colOff>1038225</xdr:colOff>
      <xdr:row>0</xdr:row>
      <xdr:rowOff>2228849</xdr:rowOff>
    </xdr:from>
    <xdr:ext cx="948417" cy="374077"/>
    <xdr:sp macro="" textlink="$H5">
      <xdr:nvSpPr>
        <xdr:cNvPr id="16" name="CuadroTexto 15">
          <a:extLst>
            <a:ext uri="{FF2B5EF4-FFF2-40B4-BE49-F238E27FC236}">
              <a16:creationId xmlns:a16="http://schemas.microsoft.com/office/drawing/2014/main" id="{B897DF5F-CBCB-4537-8714-725971B8AC42}"/>
            </a:ext>
          </a:extLst>
        </xdr:cNvPr>
        <xdr:cNvSpPr txBox="1"/>
      </xdr:nvSpPr>
      <xdr:spPr>
        <a:xfrm>
          <a:off x="14495689" y="2228849"/>
          <a:ext cx="948417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F8D5E252-C030-4EB4-9C2C-87A71A400C6B}" type="TxLink">
            <a:rPr lang="en-US" sz="1800" b="1" i="0" u="none" strike="noStrike">
              <a:solidFill>
                <a:schemeClr val="accent4"/>
              </a:solidFill>
              <a:latin typeface="Aptos Narrow"/>
            </a:rPr>
            <a:pPr/>
            <a:t>100%</a:t>
          </a:fld>
          <a:endParaRPr lang="es-CO" sz="1800" b="1">
            <a:solidFill>
              <a:schemeClr val="accent4"/>
            </a:solidFill>
          </a:endParaRPr>
        </a:p>
      </xdr:txBody>
    </xdr:sp>
    <xdr:clientData/>
  </xdr:oneCellAnchor>
  <xdr:oneCellAnchor>
    <xdr:from>
      <xdr:col>11</xdr:col>
      <xdr:colOff>47625</xdr:colOff>
      <xdr:row>0</xdr:row>
      <xdr:rowOff>2295525</xdr:rowOff>
    </xdr:from>
    <xdr:ext cx="911981" cy="264560"/>
    <xdr:sp macro="" textlink="$C5">
      <xdr:nvSpPr>
        <xdr:cNvPr id="17" name="CuadroTexto 16">
          <a:extLst>
            <a:ext uri="{FF2B5EF4-FFF2-40B4-BE49-F238E27FC236}">
              <a16:creationId xmlns:a16="http://schemas.microsoft.com/office/drawing/2014/main" id="{0188CA17-3731-4738-847F-01A80CB37A4A}"/>
            </a:ext>
          </a:extLst>
        </xdr:cNvPr>
        <xdr:cNvSpPr txBox="1"/>
      </xdr:nvSpPr>
      <xdr:spPr>
        <a:xfrm>
          <a:off x="9153525" y="2295525"/>
          <a:ext cx="9119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AC06834C-725B-4E0D-BED8-B86E0C4FB7B9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/>
            <a:t>Entregable 1</a:t>
          </a:fld>
          <a:endParaRPr lang="es-CO" sz="1100" b="1"/>
        </a:p>
      </xdr:txBody>
    </xdr:sp>
    <xdr:clientData/>
  </xdr:oneCellAnchor>
  <xdr:oneCellAnchor>
    <xdr:from>
      <xdr:col>11</xdr:col>
      <xdr:colOff>47625</xdr:colOff>
      <xdr:row>0</xdr:row>
      <xdr:rowOff>2676525</xdr:rowOff>
    </xdr:from>
    <xdr:ext cx="911981" cy="264560"/>
    <xdr:sp macro="" textlink="$B$10:$B$15">
      <xdr:nvSpPr>
        <xdr:cNvPr id="18" name="CuadroTexto 17">
          <a:extLst>
            <a:ext uri="{FF2B5EF4-FFF2-40B4-BE49-F238E27FC236}">
              <a16:creationId xmlns:a16="http://schemas.microsoft.com/office/drawing/2014/main" id="{FFF96804-A0F0-4D05-8D70-D556B0E5C533}"/>
            </a:ext>
          </a:extLst>
        </xdr:cNvPr>
        <xdr:cNvSpPr txBox="1"/>
      </xdr:nvSpPr>
      <xdr:spPr>
        <a:xfrm>
          <a:off x="9153525" y="2676525"/>
          <a:ext cx="9119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1B3DD0E6-17C0-42D4-A88F-37E9244603B7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/>
            <a:t>Entregable 2</a:t>
          </a:fld>
          <a:endParaRPr lang="es-CO" sz="1100" b="1"/>
        </a:p>
      </xdr:txBody>
    </xdr:sp>
    <xdr:clientData/>
  </xdr:oneCellAnchor>
  <xdr:oneCellAnchor>
    <xdr:from>
      <xdr:col>11</xdr:col>
      <xdr:colOff>1059998</xdr:colOff>
      <xdr:row>0</xdr:row>
      <xdr:rowOff>2609849</xdr:rowOff>
    </xdr:from>
    <xdr:ext cx="858610" cy="374077"/>
    <xdr:sp macro="" textlink="$H$10:$H$15">
      <xdr:nvSpPr>
        <xdr:cNvPr id="19" name="CuadroTexto 18">
          <a:extLst>
            <a:ext uri="{FF2B5EF4-FFF2-40B4-BE49-F238E27FC236}">
              <a16:creationId xmlns:a16="http://schemas.microsoft.com/office/drawing/2014/main" id="{5D33866E-4267-42FB-8969-C063A0793EC5}"/>
            </a:ext>
          </a:extLst>
        </xdr:cNvPr>
        <xdr:cNvSpPr txBox="1"/>
      </xdr:nvSpPr>
      <xdr:spPr>
        <a:xfrm>
          <a:off x="14517462" y="2609849"/>
          <a:ext cx="858610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9F0AFE19-030F-4227-882E-4CF8C60FFAEA}" type="TxLink">
            <a:rPr lang="en-US" sz="1800" b="1" i="0" u="none" strike="noStrike">
              <a:solidFill>
                <a:schemeClr val="accent4"/>
              </a:solidFill>
              <a:latin typeface="Aptos Narrow"/>
              <a:ea typeface="+mn-ea"/>
              <a:cs typeface="+mn-cs"/>
            </a:rPr>
            <a:pPr marL="0" indent="0"/>
            <a:t>100%</a:t>
          </a:fld>
          <a:endParaRPr lang="en-US" sz="1800" b="1" i="0" u="none" strike="noStrike">
            <a:solidFill>
              <a:schemeClr val="accent4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twoCellAnchor>
    <xdr:from>
      <xdr:col>10</xdr:col>
      <xdr:colOff>666750</xdr:colOff>
      <xdr:row>0</xdr:row>
      <xdr:rowOff>2209800</xdr:rowOff>
    </xdr:from>
    <xdr:to>
      <xdr:col>12</xdr:col>
      <xdr:colOff>638175</xdr:colOff>
      <xdr:row>0</xdr:row>
      <xdr:rowOff>2219325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FF11CE58-CBFB-8D57-79C5-962AA81DA670}"/>
            </a:ext>
          </a:extLst>
        </xdr:cNvPr>
        <xdr:cNvCxnSpPr/>
      </xdr:nvCxnSpPr>
      <xdr:spPr>
        <a:xfrm flipV="1">
          <a:off x="9010650" y="2209800"/>
          <a:ext cx="1781175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699408</xdr:colOff>
      <xdr:row>0</xdr:row>
      <xdr:rowOff>3513364</xdr:rowOff>
    </xdr:from>
    <xdr:to>
      <xdr:col>12</xdr:col>
      <xdr:colOff>670833</xdr:colOff>
      <xdr:row>0</xdr:row>
      <xdr:rowOff>3522889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89ADA7D9-A5DB-4420-A5EE-387E4E4AD96A}"/>
            </a:ext>
          </a:extLst>
        </xdr:cNvPr>
        <xdr:cNvCxnSpPr/>
      </xdr:nvCxnSpPr>
      <xdr:spPr>
        <a:xfrm flipV="1">
          <a:off x="13313229" y="3513364"/>
          <a:ext cx="2012497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121227</xdr:colOff>
      <xdr:row>1</xdr:row>
      <xdr:rowOff>1432461</xdr:rowOff>
    </xdr:from>
    <xdr:to>
      <xdr:col>7</xdr:col>
      <xdr:colOff>218570</xdr:colOff>
      <xdr:row>1</xdr:row>
      <xdr:rowOff>2670711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5" name="Sprint">
              <a:extLst>
                <a:ext uri="{FF2B5EF4-FFF2-40B4-BE49-F238E27FC236}">
                  <a16:creationId xmlns:a16="http://schemas.microsoft.com/office/drawing/2014/main" id="{5F5BE342-FFFF-DC09-D9A3-F73A117E53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pri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227" y="4861461"/>
              <a:ext cx="9951388" cy="1238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oneCellAnchor>
    <xdr:from>
      <xdr:col>11</xdr:col>
      <xdr:colOff>81643</xdr:colOff>
      <xdr:row>0</xdr:row>
      <xdr:rowOff>3061607</xdr:rowOff>
    </xdr:from>
    <xdr:ext cx="911981" cy="264560"/>
    <xdr:sp macro="" textlink="$B$16:$B$21">
      <xdr:nvSpPr>
        <xdr:cNvPr id="3" name="CuadroTexto 2">
          <a:extLst>
            <a:ext uri="{FF2B5EF4-FFF2-40B4-BE49-F238E27FC236}">
              <a16:creationId xmlns:a16="http://schemas.microsoft.com/office/drawing/2014/main" id="{64DC3F68-00C0-4269-A6B9-51B78912191C}"/>
            </a:ext>
          </a:extLst>
        </xdr:cNvPr>
        <xdr:cNvSpPr txBox="1"/>
      </xdr:nvSpPr>
      <xdr:spPr>
        <a:xfrm>
          <a:off x="13539107" y="3061607"/>
          <a:ext cx="9119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FBF0B05-4A2E-4092-9CC6-D7B4E5944436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/>
            <a:t>Entregable 3</a:t>
          </a:fld>
          <a:endParaRPr lang="es-CO" sz="1100" b="1"/>
        </a:p>
      </xdr:txBody>
    </xdr:sp>
    <xdr:clientData/>
  </xdr:oneCellAnchor>
  <xdr:oneCellAnchor>
    <xdr:from>
      <xdr:col>11</xdr:col>
      <xdr:colOff>1047750</xdr:colOff>
      <xdr:row>0</xdr:row>
      <xdr:rowOff>2993571</xdr:rowOff>
    </xdr:from>
    <xdr:ext cx="858610" cy="374077"/>
    <xdr:sp macro="" textlink="$H$16:$H$21">
      <xdr:nvSpPr>
        <xdr:cNvPr id="4" name="CuadroTexto 3">
          <a:extLst>
            <a:ext uri="{FF2B5EF4-FFF2-40B4-BE49-F238E27FC236}">
              <a16:creationId xmlns:a16="http://schemas.microsoft.com/office/drawing/2014/main" id="{B9261A1C-83B5-4185-BD56-B96F096B6ECC}"/>
            </a:ext>
          </a:extLst>
        </xdr:cNvPr>
        <xdr:cNvSpPr txBox="1"/>
      </xdr:nvSpPr>
      <xdr:spPr>
        <a:xfrm>
          <a:off x="14505214" y="2993571"/>
          <a:ext cx="858610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7D74DC9A-B693-49F5-903E-837C06265F66}" type="TxLink">
            <a:rPr lang="en-US" sz="1800" b="1" i="0" u="none" strike="noStrike">
              <a:solidFill>
                <a:schemeClr val="accent4"/>
              </a:solidFill>
              <a:latin typeface="Aptos Narrow"/>
              <a:ea typeface="+mn-ea"/>
              <a:cs typeface="+mn-cs"/>
            </a:rPr>
            <a:pPr marL="0" indent="0"/>
            <a:t>0%</a:t>
          </a:fld>
          <a:endParaRPr lang="en-US" sz="1800" b="1" i="0" u="none" strike="noStrike">
            <a:solidFill>
              <a:schemeClr val="accent4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twoCellAnchor>
    <xdr:from>
      <xdr:col>10</xdr:col>
      <xdr:colOff>340177</xdr:colOff>
      <xdr:row>0</xdr:row>
      <xdr:rowOff>3426277</xdr:rowOff>
    </xdr:from>
    <xdr:to>
      <xdr:col>16</xdr:col>
      <xdr:colOff>666749</xdr:colOff>
      <xdr:row>1</xdr:row>
      <xdr:rowOff>3034392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991AC1A-57F9-95CB-E5C2-CC115BD2A5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280147</xdr:colOff>
      <xdr:row>0</xdr:row>
      <xdr:rowOff>370913</xdr:rowOff>
    </xdr:from>
    <xdr:to>
      <xdr:col>9</xdr:col>
      <xdr:colOff>173182</xdr:colOff>
      <xdr:row>1</xdr:row>
      <xdr:rowOff>1246908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E9B04815-EC0D-4C20-A420-90FF724DE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84.885714467593" createdVersion="8" refreshedVersion="8" minRefreshableVersion="3" recordCount="18" xr:uid="{EFD0EDF6-4B4E-41D8-9799-58593E5E5F89}">
  <cacheSource type="worksheet">
    <worksheetSource name="Tabla1"/>
  </cacheSource>
  <cacheFields count="13">
    <cacheField name="Epica" numFmtId="0">
      <sharedItems count="3">
        <s v="Epica 1"/>
        <s v="Epica 2" u="1"/>
        <s v="Epica 3" u="1"/>
      </sharedItems>
    </cacheField>
    <cacheField name="Entrega de valor" numFmtId="0">
      <sharedItems/>
    </cacheField>
    <cacheField name="HA/HU" numFmtId="0">
      <sharedItems/>
    </cacheField>
    <cacheField name="Sprint" numFmtId="0">
      <sharedItems containsSemiMixedTypes="0" containsString="0" containsNumber="1" containsInteger="1" minValue="1" maxValue="18"/>
    </cacheField>
    <cacheField name="Responsable" numFmtId="0">
      <sharedItems count="4">
        <s v="Juan Diego"/>
        <s v="Carlos" u="1"/>
        <s v="Andres" u="1"/>
        <s v="Ivan" u="1"/>
      </sharedItems>
    </cacheField>
    <cacheField name="Rol" numFmtId="0">
      <sharedItems/>
    </cacheField>
    <cacheField name="Puntos" numFmtId="0">
      <sharedItems containsSemiMixedTypes="0" containsString="0" containsNumber="1" containsInteger="1" minValue="3" maxValue="120"/>
    </cacheField>
    <cacheField name="Progreso" numFmtId="9">
      <sharedItems containsSemiMixedTypes="0" containsString="0" containsNumber="1" containsInteger="1" minValue="0" maxValue="1"/>
    </cacheField>
    <cacheField name="Restante" numFmtId="9">
      <sharedItems containsSemiMixedTypes="0" containsString="0" containsNumber="1" containsInteger="1" minValue="0" maxValue="1"/>
    </cacheField>
    <cacheField name="Fecha Inicio" numFmtId="14">
      <sharedItems containsSemiMixedTypes="0" containsNonDate="0" containsDate="1" containsString="0" minDate="2025-10-02T00:00:00" maxDate="2025-12-03T00:00:00"/>
    </cacheField>
    <cacheField name="Fecha fin" numFmtId="14">
      <sharedItems containsSemiMixedTypes="0" containsNonDate="0" containsDate="1" containsString="0" minDate="2025-10-04T00:00:00" maxDate="2025-12-08T00:00:00"/>
    </cacheField>
    <cacheField name="Duracion Dias" numFmtId="0">
      <sharedItems containsSemiMixedTypes="0" containsString="0" containsNumber="1" containsInteger="1" minValue="1" maxValue="36"/>
    </cacheField>
    <cacheField name="%Dias" numFmtId="0">
      <sharedItems containsSemiMixedTypes="0" containsString="0" containsNumber="1" containsInteger="1" minValue="0" maxValue="36"/>
    </cacheField>
  </cacheFields>
  <extLst>
    <ext xmlns:x14="http://schemas.microsoft.com/office/spreadsheetml/2009/9/main" uri="{725AE2AE-9491-48be-B2B4-4EB974FC3084}">
      <x14:pivotCacheDefinition pivotCacheId="107359976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s v="Entregable Epica"/>
    <s v="Epica final del proyecto"/>
    <n v="1"/>
    <x v="0"/>
    <s v="PO"/>
    <n v="42"/>
    <n v="1"/>
    <n v="0"/>
    <d v="2025-11-01T00:00:00"/>
    <d v="2025-12-07T00:00:00"/>
    <n v="36"/>
    <n v="36"/>
  </r>
  <r>
    <x v="0"/>
    <s v="Entregable 1"/>
    <s v="Entregable 1"/>
    <n v="2"/>
    <x v="0"/>
    <s v="PO"/>
    <n v="21"/>
    <n v="1"/>
    <n v="0"/>
    <d v="2025-11-01T00:00:00"/>
    <d v="2025-11-06T00:00:00"/>
    <n v="5"/>
    <n v="5"/>
  </r>
  <r>
    <x v="0"/>
    <s v="Entregable 1"/>
    <s v="Documento APA"/>
    <n v="3"/>
    <x v="0"/>
    <s v="PO"/>
    <n v="8"/>
    <n v="1"/>
    <n v="0"/>
    <d v="2025-11-01T00:00:00"/>
    <d v="2025-11-02T00:00:00"/>
    <n v="1"/>
    <n v="1"/>
  </r>
  <r>
    <x v="0"/>
    <s v="Entregable 1"/>
    <s v="Repositorio"/>
    <n v="4"/>
    <x v="0"/>
    <s v="PO"/>
    <n v="3"/>
    <n v="1"/>
    <n v="0"/>
    <d v="2025-10-02T00:00:00"/>
    <d v="2025-10-04T00:00:00"/>
    <n v="2"/>
    <n v="2"/>
  </r>
  <r>
    <x v="0"/>
    <s v="Entregable 1"/>
    <s v="Carga a BD"/>
    <n v="5"/>
    <x v="0"/>
    <s v="PO"/>
    <n v="7"/>
    <n v="1"/>
    <n v="0"/>
    <d v="2025-11-01T00:00:00"/>
    <d v="2025-11-02T00:00:00"/>
    <n v="1"/>
    <n v="1"/>
  </r>
  <r>
    <x v="0"/>
    <s v="Entregable 1"/>
    <s v="Diagrama de Gantt"/>
    <n v="6"/>
    <x v="0"/>
    <s v="PO"/>
    <n v="3"/>
    <n v="1"/>
    <n v="0"/>
    <d v="2025-11-08T00:00:00"/>
    <d v="2025-11-09T00:00:00"/>
    <n v="1"/>
    <n v="1"/>
  </r>
  <r>
    <x v="0"/>
    <s v="Entregable 2"/>
    <s v="Entregable 2"/>
    <n v="7"/>
    <x v="0"/>
    <s v="PO"/>
    <n v="120"/>
    <n v="1"/>
    <n v="0"/>
    <d v="2025-11-10T00:00:00"/>
    <d v="2025-11-23T00:00:00"/>
    <n v="13"/>
    <n v="13"/>
  </r>
  <r>
    <x v="0"/>
    <s v="Entregable 2"/>
    <s v="Limpieza de datos"/>
    <n v="8"/>
    <x v="0"/>
    <s v="PO"/>
    <n v="13"/>
    <n v="1"/>
    <n v="0"/>
    <d v="2025-11-12T00:00:00"/>
    <d v="2025-11-18T00:00:00"/>
    <n v="6"/>
    <n v="6"/>
  </r>
  <r>
    <x v="0"/>
    <s v="Entregable 2"/>
    <s v="Documentación en Notebook"/>
    <n v="9"/>
    <x v="0"/>
    <s v="PO"/>
    <n v="21"/>
    <n v="1"/>
    <n v="0"/>
    <d v="2025-11-13T00:00:00"/>
    <d v="2025-11-19T00:00:00"/>
    <n v="6"/>
    <n v="6"/>
  </r>
  <r>
    <x v="0"/>
    <s v="Entregable 2"/>
    <s v="Enriquecimiento de datos"/>
    <n v="10"/>
    <x v="0"/>
    <s v="PO"/>
    <n v="5"/>
    <n v="1"/>
    <n v="0"/>
    <d v="2025-11-15T00:00:00"/>
    <d v="2025-11-21T00:00:00"/>
    <n v="6"/>
    <n v="6"/>
  </r>
  <r>
    <x v="0"/>
    <s v="Entregable 2"/>
    <s v="Analisis descriptivo"/>
    <n v="11"/>
    <x v="0"/>
    <s v="PO"/>
    <n v="8"/>
    <n v="1"/>
    <n v="0"/>
    <d v="2025-11-17T00:00:00"/>
    <d v="2025-11-23T00:00:00"/>
    <n v="6"/>
    <n v="6"/>
  </r>
  <r>
    <x v="0"/>
    <s v="Entregable 2"/>
    <s v="Crear visualizaciones"/>
    <n v="12"/>
    <x v="0"/>
    <s v="PO"/>
    <n v="13"/>
    <n v="1"/>
    <n v="0"/>
    <d v="2025-11-19T00:00:00"/>
    <d v="2025-11-23T00:00:00"/>
    <n v="4"/>
    <n v="4"/>
  </r>
  <r>
    <x v="0"/>
    <s v="Entregable 3"/>
    <s v="Entregable 3"/>
    <n v="13"/>
    <x v="0"/>
    <s v="PO"/>
    <n v="60"/>
    <n v="0"/>
    <n v="1"/>
    <d v="2025-11-24T00:00:00"/>
    <d v="2025-12-07T00:00:00"/>
    <n v="13"/>
    <n v="0"/>
  </r>
  <r>
    <x v="0"/>
    <s v="Entregable 3"/>
    <s v="Contexto y estructura de la presentación"/>
    <n v="14"/>
    <x v="0"/>
    <s v="PO"/>
    <n v="13"/>
    <n v="0"/>
    <n v="1"/>
    <d v="2025-11-24T00:00:00"/>
    <d v="2025-11-30T00:00:00"/>
    <n v="6"/>
    <n v="0"/>
  </r>
  <r>
    <x v="0"/>
    <s v="Entregable 3"/>
    <s v="Limpieza, enriquecimiento y análisis descriptivo"/>
    <n v="15"/>
    <x v="0"/>
    <s v="PO"/>
    <n v="21"/>
    <n v="0"/>
    <n v="1"/>
    <d v="2025-11-26T00:00:00"/>
    <d v="2025-12-02T00:00:00"/>
    <n v="6"/>
    <n v="0"/>
  </r>
  <r>
    <x v="0"/>
    <s v="Entregable 3"/>
    <s v="Diseño del dashboard"/>
    <n v="16"/>
    <x v="0"/>
    <s v="PO"/>
    <n v="5"/>
    <n v="0"/>
    <n v="1"/>
    <d v="2025-11-29T00:00:00"/>
    <d v="2025-12-03T00:00:00"/>
    <n v="4"/>
    <n v="0"/>
  </r>
  <r>
    <x v="0"/>
    <s v="Entregable 3"/>
    <s v="Documento de proyecto y diagrama de Gantt"/>
    <n v="17"/>
    <x v="0"/>
    <s v="PO"/>
    <n v="8"/>
    <n v="0"/>
    <n v="1"/>
    <d v="2025-12-01T00:00:00"/>
    <d v="2025-12-06T00:00:00"/>
    <n v="5"/>
    <n v="0"/>
  </r>
  <r>
    <x v="0"/>
    <s v="Entregable 3"/>
    <s v=" Repositorio actualizado"/>
    <n v="18"/>
    <x v="0"/>
    <s v="PO"/>
    <n v="13"/>
    <n v="0"/>
    <n v="1"/>
    <d v="2025-12-02T00:00:00"/>
    <d v="2025-12-07T00:00:00"/>
    <n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CBC73D-3E23-402A-85F0-D53D5A52D237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1:B3" firstHeaderRow="1" firstDataRow="1" firstDataCol="1"/>
  <pivotFields count="13">
    <pivotField showAll="0"/>
    <pivotField showAll="0"/>
    <pivotField showAll="0"/>
    <pivotField showAll="0"/>
    <pivotField axis="axisRow" showAll="0">
      <items count="5">
        <item n="Simon" m="1" x="2"/>
        <item n="Mateo" m="1" x="1"/>
        <item m="1" x="3"/>
        <item x="0"/>
        <item t="default"/>
      </items>
    </pivotField>
    <pivotField showAll="0"/>
    <pivotField dataField="1" showAll="0"/>
    <pivotField numFmtId="9" showAll="0"/>
    <pivotField numFmtId="9" showAll="0"/>
    <pivotField numFmtId="14" showAll="0"/>
    <pivotField numFmtId="14" showAll="0"/>
    <pivotField showAll="0"/>
    <pivotField showAll="0"/>
  </pivotFields>
  <rowFields count="1">
    <field x="4"/>
  </rowFields>
  <rowItems count="2">
    <i>
      <x v="3"/>
    </i>
    <i t="grand">
      <x/>
    </i>
  </rowItems>
  <colItems count="1">
    <i/>
  </colItems>
  <dataFields count="1">
    <dataField name="Suma de Puntos" fld="6" baseField="0" baseItem="0"/>
  </dataFields>
  <formats count="6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4" type="button" dataOnly="0" labelOnly="1" outline="0" axis="axisRow" fieldPosition="0"/>
    </format>
    <format dxfId="32">
      <pivotArea dataOnly="0" labelOnly="1" fieldPosition="0">
        <references count="1">
          <reference field="4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1422A-BF63-44B1-AC15-7967264F94B4}" name="TablaDiná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1:M3" firstHeaderRow="1" firstDataRow="1" firstDataCol="1"/>
  <pivotFields count="13">
    <pivotField axis="axisRow" showAll="0">
      <items count="4">
        <item x="0"/>
        <item m="1" x="1"/>
        <item m="1"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numFmtId="9" showAll="0"/>
    <pivotField numFmtId="9" showAll="0"/>
    <pivotField numFmtId="14" showAll="0"/>
    <pivotField numFmtId="14" showAll="0"/>
    <pivotField showAll="0"/>
    <pivotField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Cuenta de HA/HU" fld="2" subtotal="count" baseField="0" baseItem="0"/>
  </dataFields>
  <formats count="6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0" type="button" dataOnly="0" labelOnly="1" outline="0" axis="axisRow" fieldPosition="0"/>
    </format>
    <format dxfId="38">
      <pivotArea dataOnly="0" labelOnly="1" fieldPosition="0">
        <references count="1">
          <reference field="0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print" xr10:uid="{96FE42C0-83A4-4148-B24C-4A9B1772CFC1}" sourceName="Sprint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sponsable" xr10:uid="{08128FE4-6202-4450-9DAF-39BE54C21164}" sourceName="Responsable">
  <extLst>
    <x:ext xmlns:x15="http://schemas.microsoft.com/office/spreadsheetml/2010/11/main" uri="{2F2917AC-EB37-4324-AD4E-5DD8C200BD13}">
      <x15:tableSlicerCache tableId="1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print" xr10:uid="{EAA99129-CF6C-4C41-9B6E-A530D04616EC}" cache="SegmentaciónDeDatos_Sprint" caption="Sprint" columnCount="7" rowHeight="257175"/>
  <slicer name="Responsable" xr10:uid="{C29110C8-CB59-4F2F-B71E-099E2C767BB6}" cache="SegmentaciónDeDatos_Responsable" caption="Responsable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EA8E55-61A7-472D-AEAF-7B259D262E00}" name="Tabla1" displayName="Tabla1" ref="A3:M21" totalsRowShown="0">
  <autoFilter ref="A3:M21" xr:uid="{F5EA8E55-61A7-472D-AEAF-7B259D262E00}"/>
  <tableColumns count="13">
    <tableColumn id="1" xr3:uid="{343BC326-3D07-4EE1-9773-ECA710AF4FE3}" name="Epica"/>
    <tableColumn id="2" xr3:uid="{3B369165-13C4-47F3-89A7-C5150C0068FC}" name="Entrega de valor"/>
    <tableColumn id="3" xr3:uid="{00ABC38C-390F-4766-824B-2F15B0235DD3}" name="HA/HU"/>
    <tableColumn id="4" xr3:uid="{E4B14C9C-B3D1-4E62-B6C1-5C3E7193C4E8}" name="Sprint"/>
    <tableColumn id="5" xr3:uid="{C0FB97C9-FF11-4C05-9578-0FE429C022BE}" name="Responsable"/>
    <tableColumn id="11" xr3:uid="{9BFA5D7A-4469-4BB7-8F17-A9B85136AF79}" name="Rol" dataDxfId="29">
      <calculatedColumnFormula>IF(Tabla1[[#This Row],[Responsable]]="0","bankend",IF(Tabla1[[#This Row],[Responsable]]="0","Frontend","PO"))</calculatedColumnFormula>
    </tableColumn>
    <tableColumn id="12" xr3:uid="{4103DEAE-C8AE-4058-909E-25798B1924E0}" name="Puntos" dataDxfId="28">
      <calculatedColumnFormula>SUM(G5:G9)</calculatedColumnFormula>
    </tableColumn>
    <tableColumn id="6" xr3:uid="{9658A137-6834-485F-952C-FF312235ECC7}" name="Progreso" dataDxfId="27" dataCellStyle="Porcentaje"/>
    <tableColumn id="13" xr3:uid="{38B4B3E7-3039-4CC3-800F-72D7E2EAA0DC}" name="Restante" dataDxfId="26" dataCellStyle="Porcentaje">
      <calculatedColumnFormula>1-Tabla1[[#This Row],[Progreso]]</calculatedColumnFormula>
    </tableColumn>
    <tableColumn id="7" xr3:uid="{18580114-7AC3-46AF-B84D-B64C13A89444}" name="Fecha Inicio" dataDxfId="25"/>
    <tableColumn id="8" xr3:uid="{66459456-99D2-4A02-A292-EE9DE084CE52}" name="Fecha fin" dataDxfId="24">
      <calculatedColumnFormula>J4+L4</calculatedColumnFormula>
    </tableColumn>
    <tableColumn id="9" xr3:uid="{FF0B868C-4BFA-4652-98E1-D06DCE40F38E}" name="Duracion Dias"/>
    <tableColumn id="10" xr3:uid="{9C43BBC3-EE07-488B-A074-82F5A20D13D6}" name="%Dias">
      <calculatedColumnFormula>L4*H4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A9E9-8B31-4B27-8270-0E1B05CBDDCF}">
  <dimension ref="A1:Q11"/>
  <sheetViews>
    <sheetView showGridLines="0" workbookViewId="0">
      <selection activeCell="B7" sqref="B7"/>
    </sheetView>
  </sheetViews>
  <sheetFormatPr baseColWidth="10" defaultRowHeight="14.25" x14ac:dyDescent="0.2"/>
  <cols>
    <col min="1" max="1" width="20.75" bestFit="1" customWidth="1"/>
    <col min="2" max="2" width="18.75" bestFit="1" customWidth="1"/>
    <col min="3" max="3" width="3" bestFit="1" customWidth="1"/>
    <col min="4" max="4" width="2" bestFit="1" customWidth="1"/>
    <col min="5" max="8" width="3" bestFit="1" customWidth="1"/>
    <col min="9" max="11" width="4" bestFit="1" customWidth="1"/>
    <col min="12" max="12" width="20.75" bestFit="1" customWidth="1"/>
    <col min="13" max="13" width="20.375" bestFit="1" customWidth="1"/>
  </cols>
  <sheetData>
    <row r="1" spans="1:17" ht="21" x14ac:dyDescent="0.35">
      <c r="A1" s="4" t="s">
        <v>17</v>
      </c>
      <c r="B1" s="5" t="s">
        <v>16</v>
      </c>
      <c r="C1" s="5"/>
      <c r="D1" s="5"/>
      <c r="E1" s="5"/>
      <c r="F1" s="5"/>
      <c r="G1" s="5"/>
      <c r="H1" s="5"/>
      <c r="I1" s="5"/>
      <c r="J1" s="5"/>
      <c r="K1" s="5"/>
      <c r="L1" s="4" t="s">
        <v>17</v>
      </c>
      <c r="M1" s="5" t="s">
        <v>20</v>
      </c>
      <c r="N1" s="5"/>
      <c r="O1" s="5"/>
      <c r="P1" s="5"/>
      <c r="Q1" s="5"/>
    </row>
    <row r="2" spans="1:17" ht="21" x14ac:dyDescent="0.35">
      <c r="A2" s="6" t="s">
        <v>22</v>
      </c>
      <c r="B2" s="9">
        <v>384</v>
      </c>
      <c r="C2" s="5"/>
      <c r="D2" s="5"/>
      <c r="E2" s="5"/>
      <c r="F2" s="5"/>
      <c r="G2" s="5"/>
      <c r="H2" s="5"/>
      <c r="I2" s="5"/>
      <c r="J2" s="5"/>
      <c r="K2" s="5"/>
      <c r="L2" s="6" t="s">
        <v>9</v>
      </c>
      <c r="M2" s="9">
        <v>18</v>
      </c>
      <c r="N2" s="5"/>
      <c r="O2" s="5"/>
      <c r="P2" s="5"/>
      <c r="Q2" s="5"/>
    </row>
    <row r="3" spans="1:17" ht="21" x14ac:dyDescent="0.35">
      <c r="A3" s="6" t="s">
        <v>18</v>
      </c>
      <c r="B3" s="9">
        <v>384</v>
      </c>
      <c r="C3" s="5"/>
      <c r="D3" s="5"/>
      <c r="E3" s="5"/>
      <c r="F3" s="5"/>
      <c r="G3" s="5"/>
      <c r="H3" s="5"/>
      <c r="I3" s="5"/>
      <c r="J3" s="5"/>
      <c r="K3" s="5"/>
      <c r="L3" s="6" t="s">
        <v>18</v>
      </c>
      <c r="M3" s="9">
        <v>18</v>
      </c>
      <c r="N3" s="5"/>
      <c r="O3" s="5"/>
      <c r="P3" s="5"/>
      <c r="Q3" s="5"/>
    </row>
    <row r="4" spans="1:17" ht="2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N4" s="5"/>
      <c r="O4" s="5"/>
      <c r="P4" s="5"/>
      <c r="Q4" s="5"/>
    </row>
    <row r="5" spans="1:17" ht="2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N5" s="5"/>
      <c r="O5" s="5"/>
      <c r="P5" s="5"/>
      <c r="Q5" s="5"/>
    </row>
    <row r="6" spans="1:17" ht="21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ht="21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21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ht="21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ht="21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ht="21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DF96C-5E03-4E98-A058-3CBF2B4FF1EA}">
  <dimension ref="A1:M27"/>
  <sheetViews>
    <sheetView tabSelected="1" zoomScale="55" zoomScaleNormal="55" workbookViewId="0">
      <selection activeCell="J9" sqref="J9"/>
    </sheetView>
  </sheetViews>
  <sheetFormatPr baseColWidth="10" defaultRowHeight="14.25" x14ac:dyDescent="0.2"/>
  <cols>
    <col min="1" max="1" width="27.25" customWidth="1"/>
    <col min="2" max="2" width="30.375" customWidth="1"/>
    <col min="3" max="3" width="25.875" customWidth="1"/>
    <col min="4" max="4" width="13.25" customWidth="1"/>
    <col min="5" max="5" width="14.875" customWidth="1"/>
    <col min="6" max="6" width="8.875" bestFit="1" customWidth="1"/>
    <col min="7" max="7" width="8.875" customWidth="1"/>
    <col min="10" max="10" width="13.875" customWidth="1"/>
    <col min="12" max="12" width="15.75" customWidth="1"/>
    <col min="13" max="13" width="20.375" customWidth="1"/>
  </cols>
  <sheetData>
    <row r="1" spans="1:13" s="8" customFormat="1" ht="270" customHeight="1" x14ac:dyDescent="0.2"/>
    <row r="2" spans="1:13" s="8" customFormat="1" ht="242.25" customHeight="1" x14ac:dyDescent="0.2"/>
    <row r="3" spans="1:13" ht="31.5" customHeight="1" x14ac:dyDescent="0.2">
      <c r="A3" t="s">
        <v>0</v>
      </c>
      <c r="B3" t="s">
        <v>1</v>
      </c>
      <c r="C3" t="s">
        <v>2</v>
      </c>
      <c r="D3" t="s">
        <v>12</v>
      </c>
      <c r="E3" t="s">
        <v>3</v>
      </c>
      <c r="F3" t="s">
        <v>14</v>
      </c>
      <c r="G3" t="s">
        <v>15</v>
      </c>
      <c r="H3" t="s">
        <v>4</v>
      </c>
      <c r="I3" t="s">
        <v>19</v>
      </c>
      <c r="J3" t="s">
        <v>5</v>
      </c>
      <c r="K3" t="s">
        <v>6</v>
      </c>
      <c r="L3" t="s">
        <v>13</v>
      </c>
      <c r="M3" t="s">
        <v>7</v>
      </c>
    </row>
    <row r="4" spans="1:13" ht="31.5" customHeight="1" x14ac:dyDescent="0.25">
      <c r="A4" t="s">
        <v>9</v>
      </c>
      <c r="B4" t="s">
        <v>11</v>
      </c>
      <c r="C4" s="3" t="s">
        <v>24</v>
      </c>
      <c r="D4">
        <v>1</v>
      </c>
      <c r="E4" t="s">
        <v>22</v>
      </c>
      <c r="F4" t="str">
        <f>IF(Tabla1[[#This Row],[Responsable]]="0","bankend",IF(Tabla1[[#This Row],[Responsable]]="0","Frontend","PO"))</f>
        <v>PO</v>
      </c>
      <c r="G4">
        <f>SUM(G5:G9)</f>
        <v>42</v>
      </c>
      <c r="H4" s="2">
        <v>1</v>
      </c>
      <c r="I4" s="2">
        <f>1-Tabla1[[#This Row],[Progreso]]</f>
        <v>0</v>
      </c>
      <c r="J4" s="1">
        <v>45962</v>
      </c>
      <c r="K4" s="1">
        <f>J4+L4</f>
        <v>45998</v>
      </c>
      <c r="L4">
        <v>36</v>
      </c>
      <c r="M4">
        <f>L4*H4</f>
        <v>36</v>
      </c>
    </row>
    <row r="5" spans="1:13" ht="31.5" customHeight="1" x14ac:dyDescent="0.2">
      <c r="A5" t="s">
        <v>9</v>
      </c>
      <c r="B5" t="s">
        <v>8</v>
      </c>
      <c r="C5" t="s">
        <v>8</v>
      </c>
      <c r="D5">
        <v>2</v>
      </c>
      <c r="E5" t="s">
        <v>22</v>
      </c>
      <c r="F5" t="str">
        <f>IF(Tabla1[[#This Row],[Responsable]]="0","bankend",IF(Tabla1[[#This Row],[Responsable]]="0","Frontend","PO"))</f>
        <v>PO</v>
      </c>
      <c r="G5">
        <f>SUM(G6:G9)</f>
        <v>21</v>
      </c>
      <c r="H5" s="2">
        <v>1</v>
      </c>
      <c r="I5" s="2">
        <f>1-Tabla1[[#This Row],[Progreso]]</f>
        <v>0</v>
      </c>
      <c r="J5" s="1">
        <v>45962</v>
      </c>
      <c r="K5" s="1">
        <f t="shared" ref="K5:K15" si="0">J5+L5</f>
        <v>45970</v>
      </c>
      <c r="L5">
        <v>8</v>
      </c>
      <c r="M5">
        <f t="shared" ref="M5:M15" si="1">L5*H5</f>
        <v>8</v>
      </c>
    </row>
    <row r="6" spans="1:13" ht="31.5" customHeight="1" x14ac:dyDescent="0.2">
      <c r="A6" t="s">
        <v>9</v>
      </c>
      <c r="B6" t="s">
        <v>8</v>
      </c>
      <c r="C6" t="s">
        <v>25</v>
      </c>
      <c r="D6">
        <v>3</v>
      </c>
      <c r="E6" t="s">
        <v>22</v>
      </c>
      <c r="F6" t="str">
        <f>IF(Tabla1[[#This Row],[Responsable]]="0","bankend",IF(Tabla1[[#This Row],[Responsable]]="0","Frontend","PO"))</f>
        <v>PO</v>
      </c>
      <c r="G6">
        <v>8</v>
      </c>
      <c r="H6" s="2">
        <v>1</v>
      </c>
      <c r="I6" s="2">
        <f>1-Tabla1[[#This Row],[Progreso]]</f>
        <v>0</v>
      </c>
      <c r="J6" s="1">
        <v>45962</v>
      </c>
      <c r="K6" s="1">
        <f t="shared" si="0"/>
        <v>45966</v>
      </c>
      <c r="L6">
        <v>4</v>
      </c>
      <c r="M6">
        <f t="shared" si="1"/>
        <v>4</v>
      </c>
    </row>
    <row r="7" spans="1:13" ht="31.5" customHeight="1" x14ac:dyDescent="0.2">
      <c r="A7" t="s">
        <v>9</v>
      </c>
      <c r="B7" t="s">
        <v>8</v>
      </c>
      <c r="C7" t="s">
        <v>26</v>
      </c>
      <c r="D7">
        <v>4</v>
      </c>
      <c r="E7" t="s">
        <v>22</v>
      </c>
      <c r="F7" t="str">
        <f>IF(Tabla1[[#This Row],[Responsable]]="0","bankend",IF(Tabla1[[#This Row],[Responsable]]="0","Frontend","PO"))</f>
        <v>PO</v>
      </c>
      <c r="G7">
        <v>3</v>
      </c>
      <c r="H7" s="2">
        <v>1</v>
      </c>
      <c r="I7" s="2">
        <f>1-Tabla1[[#This Row],[Progreso]]</f>
        <v>0</v>
      </c>
      <c r="J7" s="1">
        <v>45963</v>
      </c>
      <c r="K7" s="1">
        <f t="shared" si="0"/>
        <v>45969</v>
      </c>
      <c r="L7">
        <v>6</v>
      </c>
      <c r="M7">
        <f t="shared" si="1"/>
        <v>6</v>
      </c>
    </row>
    <row r="8" spans="1:13" ht="31.5" customHeight="1" x14ac:dyDescent="0.2">
      <c r="A8" t="s">
        <v>9</v>
      </c>
      <c r="B8" t="s">
        <v>8</v>
      </c>
      <c r="C8" t="s">
        <v>27</v>
      </c>
      <c r="D8">
        <v>5</v>
      </c>
      <c r="E8" t="s">
        <v>22</v>
      </c>
      <c r="F8" t="str">
        <f>IF(Tabla1[[#This Row],[Responsable]]="0","bankend",IF(Tabla1[[#This Row],[Responsable]]="0","Frontend","PO"))</f>
        <v>PO</v>
      </c>
      <c r="G8">
        <v>7</v>
      </c>
      <c r="H8" s="2">
        <v>1</v>
      </c>
      <c r="I8" s="2">
        <f>1-Tabla1[[#This Row],[Progreso]]</f>
        <v>0</v>
      </c>
      <c r="J8" s="1">
        <v>45964</v>
      </c>
      <c r="K8" s="1">
        <f t="shared" si="0"/>
        <v>45969</v>
      </c>
      <c r="L8">
        <v>5</v>
      </c>
      <c r="M8">
        <f t="shared" si="1"/>
        <v>5</v>
      </c>
    </row>
    <row r="9" spans="1:13" ht="31.5" customHeight="1" x14ac:dyDescent="0.2">
      <c r="A9" t="s">
        <v>9</v>
      </c>
      <c r="B9" t="s">
        <v>8</v>
      </c>
      <c r="C9" t="s">
        <v>33</v>
      </c>
      <c r="D9">
        <v>6</v>
      </c>
      <c r="E9" t="s">
        <v>22</v>
      </c>
      <c r="F9" t="str">
        <f>IF(Tabla1[[#This Row],[Responsable]]="0","bankend",IF(Tabla1[[#This Row],[Responsable]]="0","Frontend","PO"))</f>
        <v>PO</v>
      </c>
      <c r="G9">
        <v>3</v>
      </c>
      <c r="H9" s="2">
        <v>1</v>
      </c>
      <c r="I9" s="2">
        <f>1-Tabla1[[#This Row],[Progreso]]</f>
        <v>0</v>
      </c>
      <c r="J9" s="1">
        <v>45967</v>
      </c>
      <c r="K9" s="1">
        <f t="shared" si="0"/>
        <v>45970</v>
      </c>
      <c r="L9">
        <v>3</v>
      </c>
      <c r="M9">
        <f t="shared" si="1"/>
        <v>3</v>
      </c>
    </row>
    <row r="10" spans="1:13" ht="31.5" customHeight="1" x14ac:dyDescent="0.2">
      <c r="A10" t="s">
        <v>9</v>
      </c>
      <c r="B10" t="s">
        <v>10</v>
      </c>
      <c r="C10" t="s">
        <v>10</v>
      </c>
      <c r="D10">
        <v>7</v>
      </c>
      <c r="E10" t="s">
        <v>22</v>
      </c>
      <c r="F10" t="str">
        <f>IF(Tabla1[[#This Row],[Responsable]]="0","bankend",IF(Tabla1[[#This Row],[Responsable]]="0","Frontend","PO"))</f>
        <v>PO</v>
      </c>
      <c r="G10">
        <f t="shared" ref="G10" si="2">SUM(G11:G16)</f>
        <v>120</v>
      </c>
      <c r="H10" s="2">
        <v>1</v>
      </c>
      <c r="I10" s="2">
        <f>1-Tabla1[[#This Row],[Progreso]]</f>
        <v>0</v>
      </c>
      <c r="J10" s="1">
        <v>45971</v>
      </c>
      <c r="K10" s="1">
        <f t="shared" si="0"/>
        <v>45984</v>
      </c>
      <c r="L10">
        <v>13</v>
      </c>
      <c r="M10">
        <f t="shared" si="1"/>
        <v>13</v>
      </c>
    </row>
    <row r="11" spans="1:13" ht="31.5" customHeight="1" x14ac:dyDescent="0.2">
      <c r="A11" t="s">
        <v>9</v>
      </c>
      <c r="B11" t="s">
        <v>10</v>
      </c>
      <c r="C11" t="s">
        <v>28</v>
      </c>
      <c r="D11">
        <v>8</v>
      </c>
      <c r="E11" t="s">
        <v>22</v>
      </c>
      <c r="F11" t="str">
        <f>IF(Tabla1[[#This Row],[Responsable]]="0","bankend",IF(Tabla1[[#This Row],[Responsable]]="0","Frontend","PO"))</f>
        <v>PO</v>
      </c>
      <c r="G11">
        <v>13</v>
      </c>
      <c r="H11" s="2">
        <v>1</v>
      </c>
      <c r="I11" s="2">
        <f>1-Tabla1[[#This Row],[Progreso]]</f>
        <v>0</v>
      </c>
      <c r="J11" s="1">
        <v>45973</v>
      </c>
      <c r="K11" s="1">
        <f t="shared" si="0"/>
        <v>45979</v>
      </c>
      <c r="L11">
        <v>6</v>
      </c>
      <c r="M11">
        <f t="shared" si="1"/>
        <v>6</v>
      </c>
    </row>
    <row r="12" spans="1:13" ht="31.5" customHeight="1" x14ac:dyDescent="0.2">
      <c r="A12" t="s">
        <v>9</v>
      </c>
      <c r="B12" t="s">
        <v>10</v>
      </c>
      <c r="C12" t="s">
        <v>29</v>
      </c>
      <c r="D12">
        <v>9</v>
      </c>
      <c r="E12" t="s">
        <v>22</v>
      </c>
      <c r="F12" t="str">
        <f>IF(Tabla1[[#This Row],[Responsable]]="0","bankend",IF(Tabla1[[#This Row],[Responsable]]="0","Frontend","PO"))</f>
        <v>PO</v>
      </c>
      <c r="G12">
        <v>21</v>
      </c>
      <c r="H12" s="2">
        <v>1</v>
      </c>
      <c r="I12" s="2">
        <f>1-Tabla1[[#This Row],[Progreso]]</f>
        <v>0</v>
      </c>
      <c r="J12" s="1">
        <v>45974</v>
      </c>
      <c r="K12" s="1">
        <f t="shared" si="0"/>
        <v>45980</v>
      </c>
      <c r="L12">
        <v>6</v>
      </c>
      <c r="M12">
        <f t="shared" si="1"/>
        <v>6</v>
      </c>
    </row>
    <row r="13" spans="1:13" ht="31.5" customHeight="1" x14ac:dyDescent="0.2">
      <c r="A13" t="s">
        <v>9</v>
      </c>
      <c r="B13" t="s">
        <v>10</v>
      </c>
      <c r="C13" t="s">
        <v>30</v>
      </c>
      <c r="D13">
        <v>10</v>
      </c>
      <c r="E13" t="s">
        <v>22</v>
      </c>
      <c r="F13" t="str">
        <f>IF(Tabla1[[#This Row],[Responsable]]="0","bankend",IF(Tabla1[[#This Row],[Responsable]]="0","Frontend","PO"))</f>
        <v>PO</v>
      </c>
      <c r="G13">
        <v>5</v>
      </c>
      <c r="H13" s="2">
        <v>1</v>
      </c>
      <c r="I13" s="2">
        <f>1-Tabla1[[#This Row],[Progreso]]</f>
        <v>0</v>
      </c>
      <c r="J13" s="1">
        <v>45976</v>
      </c>
      <c r="K13" s="1">
        <f t="shared" si="0"/>
        <v>45982</v>
      </c>
      <c r="L13">
        <v>6</v>
      </c>
      <c r="M13">
        <f t="shared" si="1"/>
        <v>6</v>
      </c>
    </row>
    <row r="14" spans="1:13" ht="31.5" customHeight="1" x14ac:dyDescent="0.2">
      <c r="A14" t="s">
        <v>9</v>
      </c>
      <c r="B14" t="s">
        <v>10</v>
      </c>
      <c r="C14" t="s">
        <v>31</v>
      </c>
      <c r="D14">
        <v>11</v>
      </c>
      <c r="E14" t="s">
        <v>22</v>
      </c>
      <c r="F14" t="str">
        <f>IF(Tabla1[[#This Row],[Responsable]]="0","bankend",IF(Tabla1[[#This Row],[Responsable]]="0","Frontend","PO"))</f>
        <v>PO</v>
      </c>
      <c r="G14">
        <v>8</v>
      </c>
      <c r="H14" s="2">
        <v>1</v>
      </c>
      <c r="I14" s="2">
        <f>1-Tabla1[[#This Row],[Progreso]]</f>
        <v>0</v>
      </c>
      <c r="J14" s="1">
        <v>45978</v>
      </c>
      <c r="K14" s="1">
        <f t="shared" si="0"/>
        <v>45984</v>
      </c>
      <c r="L14">
        <v>6</v>
      </c>
      <c r="M14">
        <f t="shared" si="1"/>
        <v>6</v>
      </c>
    </row>
    <row r="15" spans="1:13" ht="31.5" customHeight="1" x14ac:dyDescent="0.2">
      <c r="A15" t="s">
        <v>9</v>
      </c>
      <c r="B15" t="s">
        <v>10</v>
      </c>
      <c r="C15" t="s">
        <v>32</v>
      </c>
      <c r="D15">
        <v>12</v>
      </c>
      <c r="E15" t="s">
        <v>22</v>
      </c>
      <c r="F15" t="str">
        <f>IF(Tabla1[[#This Row],[Responsable]]="0","bankend",IF(Tabla1[[#This Row],[Responsable]]="0","Frontend","PO"))</f>
        <v>PO</v>
      </c>
      <c r="G15">
        <v>13</v>
      </c>
      <c r="H15" s="2">
        <v>1</v>
      </c>
      <c r="I15" s="2">
        <f>1-Tabla1[[#This Row],[Progreso]]</f>
        <v>0</v>
      </c>
      <c r="J15" s="1">
        <v>45980</v>
      </c>
      <c r="K15" s="1">
        <f t="shared" si="0"/>
        <v>45984</v>
      </c>
      <c r="L15">
        <v>4</v>
      </c>
      <c r="M15">
        <f t="shared" si="1"/>
        <v>4</v>
      </c>
    </row>
    <row r="16" spans="1:13" ht="31.5" customHeight="1" x14ac:dyDescent="0.2">
      <c r="A16" t="s">
        <v>9</v>
      </c>
      <c r="B16" t="s">
        <v>21</v>
      </c>
      <c r="C16" t="s">
        <v>21</v>
      </c>
      <c r="D16">
        <v>13</v>
      </c>
      <c r="E16" t="s">
        <v>22</v>
      </c>
      <c r="F16" t="str">
        <f>IF(Tabla1[[#This Row],[Responsable]]="0","bankend",IF(Tabla1[[#This Row],[Responsable]]="0","Frontend","PO"))</f>
        <v>PO</v>
      </c>
      <c r="G16">
        <f t="shared" ref="G16" si="3">SUM(G17:G22)</f>
        <v>60</v>
      </c>
      <c r="H16" s="2">
        <v>0</v>
      </c>
      <c r="I16" s="2">
        <f>1-Tabla1[[#This Row],[Progreso]]</f>
        <v>1</v>
      </c>
      <c r="J16" s="1">
        <v>45985</v>
      </c>
      <c r="K16" s="1">
        <f>J16+L16</f>
        <v>45998</v>
      </c>
      <c r="L16">
        <v>13</v>
      </c>
      <c r="M16">
        <f t="shared" ref="M16:M21" si="4">L16*H16</f>
        <v>0</v>
      </c>
    </row>
    <row r="17" spans="1:13" ht="31.5" customHeight="1" x14ac:dyDescent="0.2">
      <c r="A17" t="s">
        <v>9</v>
      </c>
      <c r="B17" t="s">
        <v>21</v>
      </c>
      <c r="C17" t="s">
        <v>34</v>
      </c>
      <c r="D17">
        <v>14</v>
      </c>
      <c r="E17" t="s">
        <v>22</v>
      </c>
      <c r="F17" t="str">
        <f>IF(Tabla1[[#This Row],[Responsable]]="0","bankend",IF(Tabla1[[#This Row],[Responsable]]="0","Frontend","PO"))</f>
        <v>PO</v>
      </c>
      <c r="G17">
        <v>13</v>
      </c>
      <c r="H17" s="2">
        <v>0</v>
      </c>
      <c r="I17" s="2">
        <f>1-Tabla1[[#This Row],[Progreso]]</f>
        <v>1</v>
      </c>
      <c r="J17" s="1">
        <v>45985</v>
      </c>
      <c r="K17" s="1">
        <f t="shared" ref="K16:K20" si="5">J17+L17</f>
        <v>45991</v>
      </c>
      <c r="L17">
        <v>6</v>
      </c>
      <c r="M17">
        <f t="shared" si="4"/>
        <v>0</v>
      </c>
    </row>
    <row r="18" spans="1:13" ht="31.5" customHeight="1" x14ac:dyDescent="0.2">
      <c r="A18" t="s">
        <v>9</v>
      </c>
      <c r="B18" t="s">
        <v>21</v>
      </c>
      <c r="C18" t="s">
        <v>35</v>
      </c>
      <c r="D18">
        <v>15</v>
      </c>
      <c r="E18" t="s">
        <v>22</v>
      </c>
      <c r="F18" t="str">
        <f>IF(Tabla1[[#This Row],[Responsable]]="0","bankend",IF(Tabla1[[#This Row],[Responsable]]="0","Frontend","PO"))</f>
        <v>PO</v>
      </c>
      <c r="G18">
        <v>21</v>
      </c>
      <c r="H18" s="2">
        <v>0</v>
      </c>
      <c r="I18" s="2">
        <f>1-Tabla1[[#This Row],[Progreso]]</f>
        <v>1</v>
      </c>
      <c r="J18" s="1">
        <v>45987</v>
      </c>
      <c r="K18" s="1">
        <f t="shared" si="5"/>
        <v>45993</v>
      </c>
      <c r="L18">
        <v>6</v>
      </c>
      <c r="M18">
        <f t="shared" si="4"/>
        <v>0</v>
      </c>
    </row>
    <row r="19" spans="1:13" ht="31.5" customHeight="1" x14ac:dyDescent="0.2">
      <c r="A19" t="s">
        <v>9</v>
      </c>
      <c r="B19" t="s">
        <v>21</v>
      </c>
      <c r="C19" t="s">
        <v>36</v>
      </c>
      <c r="D19">
        <v>16</v>
      </c>
      <c r="E19" t="s">
        <v>22</v>
      </c>
      <c r="F19" t="str">
        <f>IF(Tabla1[[#This Row],[Responsable]]="0","bankend",IF(Tabla1[[#This Row],[Responsable]]="0","Frontend","PO"))</f>
        <v>PO</v>
      </c>
      <c r="G19">
        <v>5</v>
      </c>
      <c r="H19" s="2">
        <v>0</v>
      </c>
      <c r="I19" s="2">
        <f>1-Tabla1[[#This Row],[Progreso]]</f>
        <v>1</v>
      </c>
      <c r="J19" s="1">
        <v>45990</v>
      </c>
      <c r="K19" s="1">
        <f t="shared" si="5"/>
        <v>45994</v>
      </c>
      <c r="L19">
        <v>4</v>
      </c>
      <c r="M19">
        <f t="shared" si="4"/>
        <v>0</v>
      </c>
    </row>
    <row r="20" spans="1:13" ht="31.5" customHeight="1" x14ac:dyDescent="0.2">
      <c r="A20" t="s">
        <v>9</v>
      </c>
      <c r="B20" t="s">
        <v>21</v>
      </c>
      <c r="C20" t="s">
        <v>37</v>
      </c>
      <c r="D20">
        <v>17</v>
      </c>
      <c r="E20" t="s">
        <v>22</v>
      </c>
      <c r="F20" t="str">
        <f>IF(Tabla1[[#This Row],[Responsable]]="0","bankend",IF(Tabla1[[#This Row],[Responsable]]="0","Frontend","PO"))</f>
        <v>PO</v>
      </c>
      <c r="G20">
        <v>8</v>
      </c>
      <c r="H20" s="2">
        <v>0</v>
      </c>
      <c r="I20" s="2">
        <f>1-Tabla1[[#This Row],[Progreso]]</f>
        <v>1</v>
      </c>
      <c r="J20" s="1">
        <v>45992</v>
      </c>
      <c r="K20" s="1">
        <f t="shared" si="5"/>
        <v>45997</v>
      </c>
      <c r="L20">
        <v>5</v>
      </c>
      <c r="M20">
        <f t="shared" si="4"/>
        <v>0</v>
      </c>
    </row>
    <row r="21" spans="1:13" ht="31.5" customHeight="1" x14ac:dyDescent="0.2">
      <c r="A21" t="s">
        <v>9</v>
      </c>
      <c r="B21" t="s">
        <v>21</v>
      </c>
      <c r="C21" t="s">
        <v>38</v>
      </c>
      <c r="D21">
        <v>18</v>
      </c>
      <c r="E21" t="s">
        <v>22</v>
      </c>
      <c r="F21" t="str">
        <f>IF(Tabla1[[#This Row],[Responsable]]="0","bankend",IF(Tabla1[[#This Row],[Responsable]]="0","Frontend","PO"))</f>
        <v>PO</v>
      </c>
      <c r="G21">
        <v>13</v>
      </c>
      <c r="H21" s="2">
        <v>0</v>
      </c>
      <c r="I21" s="2">
        <f>1-Tabla1[[#This Row],[Progreso]]</f>
        <v>1</v>
      </c>
      <c r="J21" s="1">
        <v>45993</v>
      </c>
      <c r="K21" s="1">
        <f>J21+L21</f>
        <v>45998</v>
      </c>
      <c r="L21">
        <v>5</v>
      </c>
      <c r="M21">
        <f t="shared" si="4"/>
        <v>0</v>
      </c>
    </row>
    <row r="26" spans="1:13" ht="15" x14ac:dyDescent="0.25">
      <c r="A26" s="3" t="s">
        <v>5</v>
      </c>
      <c r="B26" s="7">
        <f>MIN(Tabla1[Fecha Inicio])</f>
        <v>45962</v>
      </c>
    </row>
    <row r="27" spans="1:13" ht="15" x14ac:dyDescent="0.25">
      <c r="A27" s="3" t="s">
        <v>23</v>
      </c>
      <c r="B27" s="7">
        <f>MAX(Tabla1[Fecha fin])</f>
        <v>45998</v>
      </c>
    </row>
  </sheetData>
  <mergeCells count="1">
    <mergeCell ref="A1:XFD2"/>
  </mergeCells>
  <phoneticPr fontId="3" type="noConversion"/>
  <dataValidations count="2">
    <dataValidation type="list" allowBlank="1" showInputMessage="1" showErrorMessage="1" sqref="E3" xr:uid="{C3E85B09-0F88-43BB-B58B-1F5833C161E8}">
      <formula1>"Simon,Mateo"</formula1>
    </dataValidation>
    <dataValidation type="list" allowBlank="1" showInputMessage="1" showErrorMessage="1" sqref="E4:E21" xr:uid="{C271809C-4BC9-4660-8253-6990C03AC039}">
      <formula1>"Juan Diego"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5B8F3D-1D8B-4CF8-8674-7A4DA1952B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Dinamica</vt:lpstr>
      <vt:lpstr>Diagrama 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Callejas Jaramillo</dc:creator>
  <cp:lastModifiedBy>Asus</cp:lastModifiedBy>
  <dcterms:created xsi:type="dcterms:W3CDTF">2025-09-29T22:51:52Z</dcterms:created>
  <dcterms:modified xsi:type="dcterms:W3CDTF">2025-11-24T02:17:48Z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2025-09-30T00:12:12Z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59bd19e9-9cbb-4610-8622-1e5860b6a2e7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